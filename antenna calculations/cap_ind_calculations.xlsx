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https://liveuclac-my.sharepoint.com/personal/rmaperu_ucl_ac_uk/Documents/Projects/sVNS_15_chan_circular_patch_antenna/sVNS_15chan_circular_antenna_board/antenna calculations/"/>
    </mc:Choice>
  </mc:AlternateContent>
  <xr:revisionPtr revIDLastSave="55" documentId="11_F25DC773A252ABDACC104826899D6C0E5ADE58F1" xr6:coauthVersionLast="47" xr6:coauthVersionMax="47" xr10:uidLastSave="{E61CC906-286A-4C85-8950-415587E5AF44}"/>
  <bookViews>
    <workbookView xWindow="3420" yWindow="1704" windowWidth="21600" windowHeight="11232" activeTab="1" xr2:uid="{00000000-000D-0000-FFFF-FFFF00000000}"/>
  </bookViews>
  <sheets>
    <sheet name="calc_pcb_30mm" sheetId="5" r:id="rId1"/>
    <sheet name="real_pcb_30mm" sheetId="6" r:id="rId2"/>
    <sheet name="calc_pcb_40mm" sheetId="1" r:id="rId3"/>
    <sheet name="calc_pcb_35mm" sheetId="2" r:id="rId4"/>
    <sheet name="real_pcb_40mm" sheetId="3" r:id="rId5"/>
    <sheet name="real_pcb_35mm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6" l="1"/>
  <c r="C7" i="6" s="1"/>
  <c r="B9" i="6" s="1"/>
  <c r="C6" i="5"/>
  <c r="C7" i="5" s="1"/>
  <c r="C9" i="5" s="1"/>
  <c r="B9" i="4"/>
  <c r="B9" i="3"/>
  <c r="C6" i="4"/>
  <c r="C7" i="4" s="1"/>
  <c r="C6" i="3"/>
  <c r="C7" i="3" s="1"/>
  <c r="C6" i="2"/>
  <c r="C7" i="2" s="1"/>
  <c r="D7" i="1"/>
  <c r="C7" i="1"/>
  <c r="D6" i="1"/>
  <c r="C6" i="1"/>
</calcChain>
</file>

<file path=xl/sharedStrings.xml><?xml version="1.0" encoding="utf-8"?>
<sst xmlns="http://schemas.openxmlformats.org/spreadsheetml/2006/main" count="31" uniqueCount="6">
  <si>
    <t>C = 1/(4pi^2 f^2 L)</t>
  </si>
  <si>
    <t>f</t>
  </si>
  <si>
    <t>L</t>
  </si>
  <si>
    <t>C (F)</t>
  </si>
  <si>
    <t>C (pF)</t>
  </si>
  <si>
    <t>Ctune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</si>
</sst>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7938C-AE8E-43E8-9F61-0B15A16CE37D}">
  <dimension ref="B2:C9"/>
  <sheetViews>
    <sheetView workbookViewId="0">
      <selection activeCell="C9" sqref="C9"/>
    </sheetView>
  </sheetViews>
  <sheetFormatPr defaultRowHeight="14.4" x14ac:dyDescent="0.3"/>
  <sheetData>
    <row r="2" spans="2:3" x14ac:dyDescent="0.3">
      <c r="B2" t="s">
        <v>0</v>
      </c>
    </row>
    <row r="4" spans="2:3" x14ac:dyDescent="0.3">
      <c r="B4" t="s">
        <v>1</v>
      </c>
      <c r="C4" s="1">
        <v>13560000</v>
      </c>
    </row>
    <row r="5" spans="2:3" x14ac:dyDescent="0.3">
      <c r="B5" t="s">
        <v>2</v>
      </c>
      <c r="C5" s="1">
        <v>1.668E-6</v>
      </c>
    </row>
    <row r="6" spans="2:3" x14ac:dyDescent="0.3">
      <c r="B6" t="s">
        <v>3</v>
      </c>
      <c r="C6" s="1">
        <f>1/(4*(PI()^2)*(C4^2)*C5)</f>
        <v>8.258950019672192E-11</v>
      </c>
    </row>
    <row r="7" spans="2:3" x14ac:dyDescent="0.3">
      <c r="B7" t="s">
        <v>4</v>
      </c>
      <c r="C7" s="2">
        <f>C6*1000000000000</f>
        <v>82.589500196721914</v>
      </c>
    </row>
    <row r="9" spans="2:3" x14ac:dyDescent="0.3">
      <c r="B9" t="s">
        <v>5</v>
      </c>
      <c r="C9" s="2">
        <f>C7-50</f>
        <v>32.589500196721914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ED753-45E5-4C17-AC61-3F3797D2235C}">
  <dimension ref="B2:C9"/>
  <sheetViews>
    <sheetView tabSelected="1" workbookViewId="0">
      <selection activeCell="C7" sqref="C7"/>
    </sheetView>
  </sheetViews>
  <sheetFormatPr defaultRowHeight="14.4" x14ac:dyDescent="0.3"/>
  <sheetData>
    <row r="2" spans="2:3" x14ac:dyDescent="0.3">
      <c r="B2" t="s">
        <v>0</v>
      </c>
    </row>
    <row r="4" spans="2:3" x14ac:dyDescent="0.3">
      <c r="B4" t="s">
        <v>1</v>
      </c>
      <c r="C4" s="1">
        <v>13560000</v>
      </c>
    </row>
    <row r="5" spans="2:3" x14ac:dyDescent="0.3">
      <c r="B5" t="s">
        <v>2</v>
      </c>
      <c r="C5" s="1">
        <v>1.5811800000000001E-6</v>
      </c>
    </row>
    <row r="6" spans="2:3" x14ac:dyDescent="0.3">
      <c r="B6" t="s">
        <v>3</v>
      </c>
      <c r="C6" s="1">
        <f>1/(4*(PI()^2)*(C4^2)*C5)</f>
        <v>8.7124354171019215E-11</v>
      </c>
    </row>
    <row r="7" spans="2:3" x14ac:dyDescent="0.3">
      <c r="B7" t="s">
        <v>4</v>
      </c>
      <c r="C7" s="2">
        <f>C6*1000000000000</f>
        <v>87.12435417101922</v>
      </c>
    </row>
    <row r="9" spans="2:3" x14ac:dyDescent="0.3">
      <c r="B9" s="2">
        <f>C7-50</f>
        <v>37.12435417101922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7"/>
  <sheetViews>
    <sheetView workbookViewId="0">
      <selection activeCell="C7" sqref="C7"/>
    </sheetView>
  </sheetViews>
  <sheetFormatPr defaultRowHeight="14.4" x14ac:dyDescent="0.3"/>
  <cols>
    <col min="3" max="3" width="27.33203125" customWidth="1"/>
  </cols>
  <sheetData>
    <row r="2" spans="2:4" x14ac:dyDescent="0.3">
      <c r="B2" t="s">
        <v>0</v>
      </c>
    </row>
    <row r="4" spans="2:4" x14ac:dyDescent="0.3">
      <c r="B4" t="s">
        <v>1</v>
      </c>
      <c r="C4" s="1">
        <v>13560000</v>
      </c>
    </row>
    <row r="5" spans="2:4" x14ac:dyDescent="0.3">
      <c r="B5" t="s">
        <v>2</v>
      </c>
      <c r="C5" s="1">
        <v>3.9000000000000002E-7</v>
      </c>
      <c r="D5" s="1">
        <v>1.7120000000000001E-6</v>
      </c>
    </row>
    <row r="6" spans="2:4" x14ac:dyDescent="0.3">
      <c r="B6" t="s">
        <v>3</v>
      </c>
      <c r="C6" s="1">
        <f>1/(4*(PI()^2)*(C4^2)*C5)</f>
        <v>3.5322893930290301E-10</v>
      </c>
      <c r="D6" s="1">
        <f>1/(4*(PI()^2)*(C4^2)*D5)</f>
        <v>8.0466872855217381E-11</v>
      </c>
    </row>
    <row r="7" spans="2:4" x14ac:dyDescent="0.3">
      <c r="B7" t="s">
        <v>4</v>
      </c>
      <c r="C7" s="2">
        <f>C6*1000000000000</f>
        <v>353.22893930290303</v>
      </c>
      <c r="D7" s="2">
        <f>D6*1000000000000</f>
        <v>80.466872855217375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D79CD-43B2-46E8-A72D-23F6BD10A5C0}">
  <dimension ref="B2:D7"/>
  <sheetViews>
    <sheetView workbookViewId="0">
      <selection activeCell="B2" sqref="B2:C7"/>
    </sheetView>
  </sheetViews>
  <sheetFormatPr defaultRowHeight="14.4" x14ac:dyDescent="0.3"/>
  <sheetData>
    <row r="2" spans="2:4" x14ac:dyDescent="0.3">
      <c r="B2" t="s">
        <v>0</v>
      </c>
    </row>
    <row r="4" spans="2:4" x14ac:dyDescent="0.3">
      <c r="B4" t="s">
        <v>1</v>
      </c>
      <c r="C4" s="1">
        <v>13560000</v>
      </c>
    </row>
    <row r="5" spans="2:4" x14ac:dyDescent="0.3">
      <c r="B5" t="s">
        <v>2</v>
      </c>
      <c r="C5" s="1">
        <v>6.7391399999999998E-7</v>
      </c>
      <c r="D5" s="1"/>
    </row>
    <row r="6" spans="2:4" x14ac:dyDescent="0.3">
      <c r="B6" t="s">
        <v>3</v>
      </c>
      <c r="C6" s="1">
        <f>1/(4*(PI()^2)*(C4^2)*C5)</f>
        <v>2.044167153793098E-10</v>
      </c>
      <c r="D6" s="1"/>
    </row>
    <row r="7" spans="2:4" x14ac:dyDescent="0.3">
      <c r="B7" t="s">
        <v>4</v>
      </c>
      <c r="C7" s="2">
        <f>C6*1000000000000</f>
        <v>204.41671537930981</v>
      </c>
      <c r="D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C186B-44B9-41D8-A12A-BBC77CF93496}">
  <dimension ref="B2:C9"/>
  <sheetViews>
    <sheetView workbookViewId="0">
      <selection activeCell="C4" sqref="C4"/>
    </sheetView>
  </sheetViews>
  <sheetFormatPr defaultRowHeight="14.4" x14ac:dyDescent="0.3"/>
  <sheetData>
    <row r="2" spans="2:3" x14ac:dyDescent="0.3">
      <c r="B2" t="s">
        <v>0</v>
      </c>
    </row>
    <row r="4" spans="2:3" x14ac:dyDescent="0.3">
      <c r="B4" t="s">
        <v>1</v>
      </c>
      <c r="C4" s="1">
        <v>13560000</v>
      </c>
    </row>
    <row r="5" spans="2:3" x14ac:dyDescent="0.3">
      <c r="B5" t="s">
        <v>2</v>
      </c>
      <c r="C5" s="1">
        <v>1.9400000000000001E-6</v>
      </c>
    </row>
    <row r="6" spans="2:3" x14ac:dyDescent="0.3">
      <c r="B6" t="s">
        <v>3</v>
      </c>
      <c r="C6" s="1">
        <f>1/(4*(PI()^2)*(C4^2)*C5)</f>
        <v>7.1009941406253699E-11</v>
      </c>
    </row>
    <row r="7" spans="2:3" x14ac:dyDescent="0.3">
      <c r="B7" t="s">
        <v>4</v>
      </c>
      <c r="C7" s="2">
        <f>C6*1000000000000</f>
        <v>71.009941406253702</v>
      </c>
    </row>
    <row r="9" spans="2:3" x14ac:dyDescent="0.3">
      <c r="B9" s="2">
        <f>C7-50</f>
        <v>21.009941406253702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B55C1-00B9-4381-A350-547C8B65022E}">
  <dimension ref="B2:C9"/>
  <sheetViews>
    <sheetView workbookViewId="0">
      <selection activeCell="B2" sqref="B2:C9"/>
    </sheetView>
  </sheetViews>
  <sheetFormatPr defaultRowHeight="14.4" x14ac:dyDescent="0.3"/>
  <sheetData>
    <row r="2" spans="2:3" x14ac:dyDescent="0.3">
      <c r="B2" t="s">
        <v>0</v>
      </c>
    </row>
    <row r="4" spans="2:3" x14ac:dyDescent="0.3">
      <c r="B4" t="s">
        <v>1</v>
      </c>
      <c r="C4" s="1">
        <v>13560000</v>
      </c>
    </row>
    <row r="5" spans="2:3" x14ac:dyDescent="0.3">
      <c r="B5" t="s">
        <v>2</v>
      </c>
      <c r="C5" s="1">
        <v>9.9300000000000006E-7</v>
      </c>
    </row>
    <row r="6" spans="2:3" x14ac:dyDescent="0.3">
      <c r="B6" t="s">
        <v>3</v>
      </c>
      <c r="C6" s="1">
        <f>1/(4*(PI()^2)*(C4^2)*C5)</f>
        <v>1.3873039912198606E-10</v>
      </c>
    </row>
    <row r="7" spans="2:3" x14ac:dyDescent="0.3">
      <c r="B7" t="s">
        <v>4</v>
      </c>
      <c r="C7" s="2">
        <f>C6*1000000000000</f>
        <v>138.73039912198607</v>
      </c>
    </row>
    <row r="9" spans="2:3" x14ac:dyDescent="0.3">
      <c r="B9" s="2">
        <f>C7-50</f>
        <v>88.730399121986068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faf88fe-a998-4c5b-93c9-210a11d9a5c2}" enabled="0" method="" siteId="{1faf88fe-a998-4c5b-93c9-210a11d9a5c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calc_pcb_30mm</vt:lpstr>
      <vt:lpstr>real_pcb_30mm</vt:lpstr>
      <vt:lpstr>calc_pcb_40mm</vt:lpstr>
      <vt:lpstr>calc_pcb_35mm</vt:lpstr>
      <vt:lpstr>real_pcb_40mm</vt:lpstr>
      <vt:lpstr>real_pcb_35mm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Edvards Rutkovskis</dc:creator>
  <cp:lastModifiedBy>Edvards Rutkovskis</cp:lastModifiedBy>
  <dcterms:created xsi:type="dcterms:W3CDTF">2015-06-05T18:17:20Z</dcterms:created>
  <dcterms:modified xsi:type="dcterms:W3CDTF">2026-08-21T16:33:44Z</dcterms:modified>
</cp:coreProperties>
</file>