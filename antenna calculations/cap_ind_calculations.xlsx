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rmaperu_ucl_ac_uk/Documents/Projects/sVNS_15_chan_circular_patch_antenna/sVNS_15chan_circular_antenna_board/antenna calculations/"/>
    </mc:Choice>
  </mc:AlternateContent>
  <xr:revisionPtr revIDLastSave="162" documentId="11_F25DC773A252ABDACC104826899D6C0E5ADE58F1" xr6:coauthVersionLast="47" xr6:coauthVersionMax="47" xr10:uidLastSave="{25EC527E-4CBD-4FB3-84D9-0807127BE047}"/>
  <bookViews>
    <workbookView xWindow="-57720" yWindow="-120" windowWidth="29040" windowHeight="15720" activeTab="2" xr2:uid="{00000000-000D-0000-FFFF-FFFF00000000}"/>
  </bookViews>
  <sheets>
    <sheet name="calc_pcb_30mm" sheetId="5" r:id="rId1"/>
    <sheet name="real_pcb_30mm" sheetId="6" r:id="rId2"/>
    <sheet name="real_pcb_30mm_ferrite" sheetId="7" r:id="rId3"/>
    <sheet name="calc_pcb_40mm" sheetId="1" r:id="rId4"/>
    <sheet name="calc_pcb_35mm" sheetId="2" r:id="rId5"/>
    <sheet name="real_pcb_40mm" sheetId="3" r:id="rId6"/>
    <sheet name="real_pcb_35mm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7" l="1"/>
  <c r="I5" i="7"/>
  <c r="H5" i="7"/>
  <c r="I4" i="7"/>
  <c r="H4" i="7"/>
  <c r="C6" i="6"/>
  <c r="C7" i="6" s="1"/>
  <c r="B9" i="6" s="1"/>
  <c r="C6" i="5"/>
  <c r="C7" i="5" s="1"/>
  <c r="C9" i="5" s="1"/>
  <c r="B9" i="4"/>
  <c r="B9" i="3"/>
  <c r="C6" i="4"/>
  <c r="C7" i="4" s="1"/>
  <c r="C6" i="3"/>
  <c r="C7" i="3" s="1"/>
  <c r="C6" i="2"/>
  <c r="C7" i="2" s="1"/>
  <c r="D7" i="1"/>
  <c r="C7" i="1"/>
  <c r="D6" i="1"/>
  <c r="C6" i="1"/>
</calcChain>
</file>

<file path=xl/sharedStrings.xml><?xml version="1.0" encoding="utf-8"?>
<sst xmlns="http://schemas.openxmlformats.org/spreadsheetml/2006/main" count="46" uniqueCount="21">
  <si>
    <t>C = 1/(4pi^2 f^2 L)</t>
  </si>
  <si>
    <t>f</t>
  </si>
  <si>
    <t>L</t>
  </si>
  <si>
    <t>C (F)</t>
  </si>
  <si>
    <t>C (pF)</t>
  </si>
  <si>
    <t>Ctune</t>
  </si>
  <si>
    <t>Antenna no</t>
  </si>
  <si>
    <t>L (no ferrite) uH</t>
  </si>
  <si>
    <t>L (with ferrite) uH</t>
  </si>
  <si>
    <t>Q (no ferrite) -</t>
  </si>
  <si>
    <t>Q (with ferrite) -</t>
  </si>
  <si>
    <t>Antenna no 1 - tuned to 13.56 MHz + 50 pF</t>
  </si>
  <si>
    <t>Res freq (no ferrite) MHz</t>
  </si>
  <si>
    <t>Res freq (with ferrite) MHz</t>
  </si>
  <si>
    <t>Res freq (no ferrite) MHz + 50 pF</t>
  </si>
  <si>
    <t>Res freq (with ferrite) MHz + 50 pF</t>
  </si>
  <si>
    <t>&gt;20</t>
  </si>
  <si>
    <t>Cap for res no ferrite (predicted) (pF)</t>
  </si>
  <si>
    <t>Cap for res w/ ferrite (predicted) (pF)</t>
  </si>
  <si>
    <t>Fres (w/ ferrite) MHz (+47 pF) || 12.5 pF - measured</t>
  </si>
  <si>
    <t>Cap needed for 13.56 MHz w/ ferrite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</si>
</sst>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938C-AE8E-43E8-9F61-0B15A16CE37D}">
  <dimension ref="B2:C9"/>
  <sheetViews>
    <sheetView workbookViewId="0">
      <selection activeCell="C9" sqref="C9"/>
    </sheetView>
  </sheetViews>
  <sheetFormatPr defaultRowHeight="14.4" x14ac:dyDescent="0.3"/>
  <sheetData>
    <row r="2" spans="2:3" x14ac:dyDescent="0.3">
      <c r="B2" t="s">
        <v>0</v>
      </c>
    </row>
    <row r="4" spans="2:3" x14ac:dyDescent="0.3">
      <c r="B4" t="s">
        <v>1</v>
      </c>
      <c r="C4" s="1">
        <v>13560000</v>
      </c>
    </row>
    <row r="5" spans="2:3" x14ac:dyDescent="0.3">
      <c r="B5" t="s">
        <v>2</v>
      </c>
      <c r="C5" s="1">
        <v>1.668E-6</v>
      </c>
    </row>
    <row r="6" spans="2:3" x14ac:dyDescent="0.3">
      <c r="B6" t="s">
        <v>3</v>
      </c>
      <c r="C6" s="1">
        <f>1/(4*(PI()^2)*(C4^2)*C5)</f>
        <v>8.258950019672192E-11</v>
      </c>
    </row>
    <row r="7" spans="2:3" x14ac:dyDescent="0.3">
      <c r="B7" t="s">
        <v>4</v>
      </c>
      <c r="C7" s="2">
        <f>C6*1000000000000</f>
        <v>82.589500196721914</v>
      </c>
    </row>
    <row r="9" spans="2:3" x14ac:dyDescent="0.3">
      <c r="B9" t="s">
        <v>5</v>
      </c>
      <c r="C9" s="2">
        <f>C7-50</f>
        <v>32.589500196721914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D753-45E5-4C17-AC61-3F3797D2235C}">
  <dimension ref="B2:C9"/>
  <sheetViews>
    <sheetView workbookViewId="0">
      <selection activeCell="B2" sqref="B2:C9"/>
    </sheetView>
  </sheetViews>
  <sheetFormatPr defaultRowHeight="14.4" x14ac:dyDescent="0.3"/>
  <sheetData>
    <row r="2" spans="2:3" x14ac:dyDescent="0.3">
      <c r="B2" t="s">
        <v>0</v>
      </c>
    </row>
    <row r="4" spans="2:3" x14ac:dyDescent="0.3">
      <c r="B4" t="s">
        <v>1</v>
      </c>
      <c r="C4" s="1">
        <v>13560000</v>
      </c>
    </row>
    <row r="5" spans="2:3" x14ac:dyDescent="0.3">
      <c r="B5" t="s">
        <v>2</v>
      </c>
      <c r="C5" s="1">
        <v>1.5811800000000001E-6</v>
      </c>
    </row>
    <row r="6" spans="2:3" x14ac:dyDescent="0.3">
      <c r="B6" t="s">
        <v>3</v>
      </c>
      <c r="C6" s="1">
        <f>1/(4*(PI()^2)*(C4^2)*C5)</f>
        <v>8.7124354171019215E-11</v>
      </c>
    </row>
    <row r="7" spans="2:3" x14ac:dyDescent="0.3">
      <c r="B7" t="s">
        <v>4</v>
      </c>
      <c r="C7" s="2">
        <f>C6*1000000000000</f>
        <v>87.12435417101922</v>
      </c>
    </row>
    <row r="9" spans="2:3" x14ac:dyDescent="0.3">
      <c r="B9" s="2">
        <f>C7-50</f>
        <v>37.12435417101922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7007-3958-488F-AF69-3897DEC76843}">
  <dimension ref="B2:M9"/>
  <sheetViews>
    <sheetView tabSelected="1" workbookViewId="0">
      <selection activeCell="M5" sqref="M5"/>
    </sheetView>
  </sheetViews>
  <sheetFormatPr defaultRowHeight="14.4" x14ac:dyDescent="0.3"/>
  <cols>
    <col min="2" max="2" width="11" bestFit="1" customWidth="1"/>
    <col min="3" max="3" width="14.6640625" bestFit="1" customWidth="1"/>
    <col min="4" max="4" width="16.33203125" bestFit="1" customWidth="1"/>
    <col min="5" max="5" width="13.5546875" customWidth="1"/>
    <col min="6" max="6" width="15.21875" bestFit="1" customWidth="1"/>
    <col min="7" max="7" width="17" customWidth="1"/>
    <col min="8" max="8" width="22.5546875" customWidth="1"/>
    <col min="9" max="9" width="21.21875" customWidth="1"/>
    <col min="10" max="10" width="17.6640625" customWidth="1"/>
    <col min="11" max="11" width="25.44140625" customWidth="1"/>
    <col min="13" max="13" width="20" customWidth="1"/>
  </cols>
  <sheetData>
    <row r="2" spans="2:13" ht="28.8" x14ac:dyDescent="0.3">
      <c r="B2" t="s">
        <v>6</v>
      </c>
      <c r="C2" t="s">
        <v>7</v>
      </c>
      <c r="D2" t="s">
        <v>8</v>
      </c>
      <c r="E2" t="s">
        <v>9</v>
      </c>
      <c r="F2" t="s">
        <v>10</v>
      </c>
      <c r="H2" s="3" t="s">
        <v>17</v>
      </c>
      <c r="I2" s="3" t="s">
        <v>18</v>
      </c>
      <c r="K2" s="3" t="s">
        <v>19</v>
      </c>
      <c r="M2" s="3" t="s">
        <v>20</v>
      </c>
    </row>
    <row r="4" spans="2:13" x14ac:dyDescent="0.3">
      <c r="B4">
        <v>2</v>
      </c>
      <c r="C4" s="1">
        <v>1.65917</v>
      </c>
      <c r="D4">
        <v>2.28539</v>
      </c>
      <c r="E4">
        <v>87.228999999999999</v>
      </c>
      <c r="F4">
        <v>83.490399999999994</v>
      </c>
      <c r="H4" s="2">
        <f>10^12*1/(4*PI()^2*13560000^2*C4*10^-6)</f>
        <v>83.029036402618289</v>
      </c>
      <c r="I4" s="2">
        <f>10^12*1/(4*PI()^2*13560000^2*D4*10^-6)</f>
        <v>60.27823974382148</v>
      </c>
      <c r="K4">
        <v>13.798999999999999</v>
      </c>
      <c r="M4" s="2">
        <f>I4-50</f>
        <v>10.27823974382148</v>
      </c>
    </row>
    <row r="5" spans="2:13" x14ac:dyDescent="0.3">
      <c r="B5">
        <v>3</v>
      </c>
      <c r="C5" s="1">
        <v>1.6599600000000001</v>
      </c>
      <c r="D5">
        <v>2.2848899999999999</v>
      </c>
      <c r="E5">
        <v>87.718900000000005</v>
      </c>
      <c r="F5">
        <v>85.266499999999994</v>
      </c>
      <c r="H5" s="2">
        <f>10^12*1/(4*PI()^2*13560000^2*C5*10^-6)</f>
        <v>82.989521631926166</v>
      </c>
      <c r="I5" s="2">
        <f>10^12*1/(4*PI()^2*13560000^2*D5*10^-6)</f>
        <v>60.291430365633438</v>
      </c>
    </row>
    <row r="6" spans="2:13" x14ac:dyDescent="0.3">
      <c r="C6" s="1"/>
    </row>
    <row r="8" spans="2:13" ht="28.8" x14ac:dyDescent="0.3">
      <c r="G8" s="3" t="s">
        <v>12</v>
      </c>
      <c r="H8" s="3" t="s">
        <v>13</v>
      </c>
      <c r="I8" s="3" t="s">
        <v>14</v>
      </c>
      <c r="J8" s="3" t="s">
        <v>15</v>
      </c>
    </row>
    <row r="9" spans="2:13" ht="57.6" x14ac:dyDescent="0.3">
      <c r="B9" s="3" t="s">
        <v>11</v>
      </c>
      <c r="D9" s="2">
        <v>3.5211399999999999</v>
      </c>
      <c r="F9">
        <v>42.750599999999999</v>
      </c>
      <c r="G9" t="s">
        <v>16</v>
      </c>
      <c r="H9">
        <v>19.311</v>
      </c>
      <c r="I9">
        <v>14.3918</v>
      </c>
      <c r="J9">
        <v>12.8666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workbookViewId="0">
      <selection activeCell="C7" sqref="C7"/>
    </sheetView>
  </sheetViews>
  <sheetFormatPr defaultRowHeight="14.4" x14ac:dyDescent="0.3"/>
  <cols>
    <col min="3" max="3" width="27.33203125" customWidth="1"/>
  </cols>
  <sheetData>
    <row r="2" spans="2:4" x14ac:dyDescent="0.3">
      <c r="B2" t="s">
        <v>0</v>
      </c>
    </row>
    <row r="4" spans="2:4" x14ac:dyDescent="0.3">
      <c r="B4" t="s">
        <v>1</v>
      </c>
      <c r="C4" s="1">
        <v>13560000</v>
      </c>
    </row>
    <row r="5" spans="2:4" x14ac:dyDescent="0.3">
      <c r="B5" t="s">
        <v>2</v>
      </c>
      <c r="C5" s="1">
        <v>3.9000000000000002E-7</v>
      </c>
      <c r="D5" s="1">
        <v>1.7120000000000001E-6</v>
      </c>
    </row>
    <row r="6" spans="2:4" x14ac:dyDescent="0.3">
      <c r="B6" t="s">
        <v>3</v>
      </c>
      <c r="C6" s="1">
        <f>1/(4*(PI()^2)*(C4^2)*C5)</f>
        <v>3.5322893930290301E-10</v>
      </c>
      <c r="D6" s="1">
        <f>1/(4*(PI()^2)*(C4^2)*D5)</f>
        <v>8.0466872855217381E-11</v>
      </c>
    </row>
    <row r="7" spans="2:4" x14ac:dyDescent="0.3">
      <c r="B7" t="s">
        <v>4</v>
      </c>
      <c r="C7" s="2">
        <f>C6*1000000000000</f>
        <v>353.22893930290303</v>
      </c>
      <c r="D7" s="2">
        <f>D6*1000000000000</f>
        <v>80.466872855217375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79CD-43B2-46E8-A72D-23F6BD10A5C0}">
  <dimension ref="B2:D7"/>
  <sheetViews>
    <sheetView workbookViewId="0">
      <selection activeCell="B2" sqref="B2:C7"/>
    </sheetView>
  </sheetViews>
  <sheetFormatPr defaultRowHeight="14.4" x14ac:dyDescent="0.3"/>
  <sheetData>
    <row r="2" spans="2:4" x14ac:dyDescent="0.3">
      <c r="B2" t="s">
        <v>0</v>
      </c>
    </row>
    <row r="4" spans="2:4" x14ac:dyDescent="0.3">
      <c r="B4" t="s">
        <v>1</v>
      </c>
      <c r="C4" s="1">
        <v>13560000</v>
      </c>
    </row>
    <row r="5" spans="2:4" x14ac:dyDescent="0.3">
      <c r="B5" t="s">
        <v>2</v>
      </c>
      <c r="C5" s="1">
        <v>6.7391399999999998E-7</v>
      </c>
      <c r="D5" s="1"/>
    </row>
    <row r="6" spans="2:4" x14ac:dyDescent="0.3">
      <c r="B6" t="s">
        <v>3</v>
      </c>
      <c r="C6" s="1">
        <f>1/(4*(PI()^2)*(C4^2)*C5)</f>
        <v>2.044167153793098E-10</v>
      </c>
      <c r="D6" s="1"/>
    </row>
    <row r="7" spans="2:4" x14ac:dyDescent="0.3">
      <c r="B7" t="s">
        <v>4</v>
      </c>
      <c r="C7" s="2">
        <f>C6*1000000000000</f>
        <v>204.41671537930981</v>
      </c>
      <c r="D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186B-44B9-41D8-A12A-BBC77CF93496}">
  <dimension ref="B2:C9"/>
  <sheetViews>
    <sheetView workbookViewId="0">
      <selection activeCell="C4" sqref="C4"/>
    </sheetView>
  </sheetViews>
  <sheetFormatPr defaultRowHeight="14.4" x14ac:dyDescent="0.3"/>
  <sheetData>
    <row r="2" spans="2:3" x14ac:dyDescent="0.3">
      <c r="B2" t="s">
        <v>0</v>
      </c>
    </row>
    <row r="4" spans="2:3" x14ac:dyDescent="0.3">
      <c r="B4" t="s">
        <v>1</v>
      </c>
      <c r="C4" s="1">
        <v>13560000</v>
      </c>
    </row>
    <row r="5" spans="2:3" x14ac:dyDescent="0.3">
      <c r="B5" t="s">
        <v>2</v>
      </c>
      <c r="C5" s="1">
        <v>1.9400000000000001E-6</v>
      </c>
    </row>
    <row r="6" spans="2:3" x14ac:dyDescent="0.3">
      <c r="B6" t="s">
        <v>3</v>
      </c>
      <c r="C6" s="1">
        <f>1/(4*(PI()^2)*(C4^2)*C5)</f>
        <v>7.1009941406253699E-11</v>
      </c>
    </row>
    <row r="7" spans="2:3" x14ac:dyDescent="0.3">
      <c r="B7" t="s">
        <v>4</v>
      </c>
      <c r="C7" s="2">
        <f>C6*1000000000000</f>
        <v>71.009941406253702</v>
      </c>
    </row>
    <row r="9" spans="2:3" x14ac:dyDescent="0.3">
      <c r="B9" s="2">
        <f>C7-50</f>
        <v>21.009941406253702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55C1-00B9-4381-A350-547C8B65022E}">
  <dimension ref="B2:C9"/>
  <sheetViews>
    <sheetView workbookViewId="0">
      <selection activeCell="B2" sqref="B2:C9"/>
    </sheetView>
  </sheetViews>
  <sheetFormatPr defaultRowHeight="14.4" x14ac:dyDescent="0.3"/>
  <sheetData>
    <row r="2" spans="2:3" x14ac:dyDescent="0.3">
      <c r="B2" t="s">
        <v>0</v>
      </c>
    </row>
    <row r="4" spans="2:3" x14ac:dyDescent="0.3">
      <c r="B4" t="s">
        <v>1</v>
      </c>
      <c r="C4" s="1">
        <v>13560000</v>
      </c>
    </row>
    <row r="5" spans="2:3" x14ac:dyDescent="0.3">
      <c r="B5" t="s">
        <v>2</v>
      </c>
      <c r="C5" s="1">
        <v>9.9300000000000006E-7</v>
      </c>
    </row>
    <row r="6" spans="2:3" x14ac:dyDescent="0.3">
      <c r="B6" t="s">
        <v>3</v>
      </c>
      <c r="C6" s="1">
        <f>1/(4*(PI()^2)*(C4^2)*C5)</f>
        <v>1.3873039912198606E-10</v>
      </c>
    </row>
    <row r="7" spans="2:3" x14ac:dyDescent="0.3">
      <c r="B7" t="s">
        <v>4</v>
      </c>
      <c r="C7" s="2">
        <f>C6*1000000000000</f>
        <v>138.73039912198607</v>
      </c>
    </row>
    <row r="9" spans="2:3" x14ac:dyDescent="0.3">
      <c r="B9" s="2">
        <f>C7-50</f>
        <v>88.730399121986068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calc_pcb_30mm</vt:lpstr>
      <vt:lpstr>real_pcb_30mm</vt:lpstr>
      <vt:lpstr>real_pcb_30mm_ferrite</vt:lpstr>
      <vt:lpstr>calc_pcb_40mm</vt:lpstr>
      <vt:lpstr>calc_pcb_35mm</vt:lpstr>
      <vt:lpstr>real_pcb_40mm</vt:lpstr>
      <vt:lpstr>real_pcb_35mm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Edvards Rutkovskis</dc:creator>
  <cp:lastModifiedBy>Edvards Rutkovskis</cp:lastModifiedBy>
  <dcterms:created xsi:type="dcterms:W3CDTF">2015-06-05T18:17:20Z</dcterms:created>
  <dcterms:modified xsi:type="dcterms:W3CDTF">2026-09-21T13:00:51Z</dcterms:modified>
</cp:coreProperties>
</file>